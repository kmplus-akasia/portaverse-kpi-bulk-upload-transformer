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PRAKTIKA\AKASIA\pms-frontend\public\"/>
    </mc:Choice>
  </mc:AlternateContent>
  <xr:revisionPtr revIDLastSave="0" documentId="13_ncr:1_{24023AD7-EAD9-4C90-AA88-9D9328B834F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KPI Template" sheetId="2" r:id="rId1"/>
    <sheet name="Sheet1" sheetId="6" state="hidden" r:id="rId2"/>
  </sheets>
  <definedNames>
    <definedName name="_xlnm._FilterDatabase" localSheetId="0" hidden="1">'KPI Template'!$A$1:$T$25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acPDfNBDW1q3K6EzP9ZtAKn2lW1akbkH88CeIDRn1kc="/>
    </ext>
  </extLst>
</workbook>
</file>

<file path=xl/calcChain.xml><?xml version="1.0" encoding="utf-8"?>
<calcChain xmlns="http://schemas.openxmlformats.org/spreadsheetml/2006/main">
  <c r="J25" i="2" l="1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<sst xmlns="http://schemas.openxmlformats.org/spreadsheetml/2006/main" count="362" uniqueCount="143">
  <si>
    <t>Direktorat</t>
  </si>
  <si>
    <t>Direktorat Keuangan</t>
  </si>
  <si>
    <t>Direktorat Komersial</t>
  </si>
  <si>
    <t>Direktorat Manajemen Risiko</t>
  </si>
  <si>
    <t>Direktorat Operasi</t>
  </si>
  <si>
    <t>Direktorat Pengembangan Usaha</t>
  </si>
  <si>
    <t>Direktorat Sumber Daya Manusia dan Umum</t>
  </si>
  <si>
    <t>Direktorat Teknik</t>
  </si>
  <si>
    <t>Direktorat Utama</t>
  </si>
  <si>
    <t>(ROIC &gt; WACC) x Inv.Capital</t>
  </si>
  <si>
    <t>ESG Rating</t>
  </si>
  <si>
    <t>Lost Time Injury Frequency Rate (LTIFR)</t>
  </si>
  <si>
    <t>Manpower productivity (Revenue per total manpower)</t>
  </si>
  <si>
    <t>Net Income</t>
  </si>
  <si>
    <t>Number of KRI exceeding its risk tolerance limit</t>
  </si>
  <si>
    <t>Pengembangan Ekosistem Bali Maritime Tourism Hub (BMTH)</t>
  </si>
  <si>
    <t>Strategic Project Delivery</t>
  </si>
  <si>
    <t>Total Productivity</t>
  </si>
  <si>
    <t>Traffic Volume</t>
  </si>
  <si>
    <t>IDKPI</t>
  </si>
  <si>
    <t>Group</t>
  </si>
  <si>
    <t>Posisi</t>
  </si>
  <si>
    <t>Position Master ID (Required)</t>
  </si>
  <si>
    <t>Position Master Variant ID (Required only for Non-Struktural)</t>
  </si>
  <si>
    <t>BSC Perspective</t>
  </si>
  <si>
    <t>KPI Type</t>
  </si>
  <si>
    <t>Parent KPI ID</t>
  </si>
  <si>
    <t>Parent KPI Title</t>
  </si>
  <si>
    <t>Title</t>
  </si>
  <si>
    <t>Description</t>
  </si>
  <si>
    <t>Unit</t>
  </si>
  <si>
    <t>Polarity</t>
  </si>
  <si>
    <t>Period</t>
  </si>
  <si>
    <t>Formula</t>
  </si>
  <si>
    <t>Weight (%)</t>
  </si>
  <si>
    <t>Cascading</t>
  </si>
  <si>
    <t>Ownership Type</t>
  </si>
  <si>
    <t>Nature Of Work (KAI Only)</t>
  </si>
  <si>
    <t>Group Pengelolaan SDM</t>
  </si>
  <si>
    <t>Financial</t>
  </si>
  <si>
    <t>IMPACT</t>
  </si>
  <si>
    <t>Rupiah</t>
  </si>
  <si>
    <t>POSITIVE</t>
  </si>
  <si>
    <t>TRIWULANAN</t>
  </si>
  <si>
    <t>(ROIC &gt; WACC ) x Inv. Capital; ROIC=(Laba Bersih Tahun Berjalan + Biaya Bunga)/(Invested Capital); WACC={(Hutang Pendanaan)/(Invested Capital) x Effective Cost of Debt} + {(Modal)/(Invested Capital) x Cost of Equity}; Invested Capital = (IBD + Modal)</t>
  </si>
  <si>
    <t>Customer</t>
  </si>
  <si>
    <t>%</t>
  </si>
  <si>
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</si>
  <si>
    <t>Trafik Kapal (Arus Kapal (GT)) : Realisasi Arus Kapal (GT); Trafik Petikemas (Container Throughput) : Jumlah Petikemas yang Dibongkar Muat; Trafik Non Petikemas (Non-Container Throughput) : Jumlah Non Petikemas yang Dibongkar Muat di Dermaga Umum; Pelindo</t>
  </si>
  <si>
    <t>Internal Business Process</t>
  </si>
  <si>
    <t>Score</t>
  </si>
  <si>
    <t>TAHUNAN</t>
  </si>
  <si>
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</si>
  <si>
    <t>NEGATIVE</t>
  </si>
  <si>
    <t>LTIFR = [(Lost Time Injury + Fatality) / Jumlah jam kerja] x 1.000.000; scope: pegawai organik dan non organik Pelindo</t>
  </si>
  <si>
    <t>Jumlah KRI (peristiwa risiko) yang berada pada level 5 / jumlah total KRI</t>
  </si>
  <si>
    <t>Pemilihan mitra strategis cruise, Relokasi terminal LNG ke AP II, Pengembangan bisnis marina di AP I</t>
  </si>
  <si>
    <t>[Revenue + Other Income] – Cost of Goods Sold (COGS) – Operating Expenses – Other Expenses – Interest – Taxes; Revenue + Other Income – Cost of Goods Sold (COGS) – Operating Expenses – Other Expenses – Finance Costs – Income Tax Expense</t>
  </si>
  <si>
    <t>% completed</t>
  </si>
  <si>
    <t>Milestone 2025 Pengembangan Infrastruktur Pelabuhan : Pembangunan Rancang Bangun Terminal Kalibaru Tahap 1B</t>
  </si>
  <si>
    <t>Learning &amp; Growth</t>
  </si>
  <si>
    <t>IDR Juta/ Person</t>
  </si>
  <si>
    <t>Manpower productivity: Revenue / Employee; *Employee Organic dan Non Organic</t>
  </si>
  <si>
    <t>OUTPUT</t>
  </si>
  <si>
    <t>(Realisasi Anggaran/Total Anggaran yang disetujui) x 100%</t>
  </si>
  <si>
    <t>INDIRECT</t>
  </si>
  <si>
    <t>SHARED</t>
  </si>
  <si>
    <t>SEMESTER</t>
  </si>
  <si>
    <t>SPECIFIC</t>
  </si>
  <si>
    <t>HC Roadmap Delivery &amp; Impact Monitoring Bidang Pengelolaan SDM</t>
  </si>
  <si>
    <t>% Delivery inisiatif strategis HC Roadmap Bidang Pengelolaan SDM</t>
  </si>
  <si>
    <t>Pemetaan individu (kinerja &amp; kompetensi) + Rasio High Potential &amp; Promotable Talent</t>
  </si>
  <si>
    <t>Career Management Framework</t>
  </si>
  <si>
    <t>% Framework Design Career Management Pelindo Group</t>
  </si>
  <si>
    <t>Tingkat pemenuhan tata kelola, manajemen risiko, dan kepatuhan internal (Penyelesaian Temuan Audit)</t>
  </si>
  <si>
    <t>Realisasi Penanganan Risiko + Monitoring Mitigasi + Penyelesaian Temuan Audit</t>
  </si>
  <si>
    <t>KAI</t>
  </si>
  <si>
    <t>Jumlah inisiatif strategis SDM yang dilaksanakan sesuai rencana / Jumlah inisiatif strategis SDM yang direncanakan x 100%</t>
  </si>
  <si>
    <t>Routine</t>
  </si>
  <si>
    <t>Non Routine</t>
  </si>
  <si>
    <t>Pelaksanaan monitoring dan evaluasi implementasi roadmap pengelolaan SDM</t>
  </si>
  <si>
    <t>Jumlah monitoring dan evaluasi roadmap pengelolaan SDM yang dilaksanakan / Jumlah monitoring dan evaluasi roadmap pengelolaan SDM yang direncanakan x 100%</t>
  </si>
  <si>
    <t>Pengisian posisi jabatan critical</t>
  </si>
  <si>
    <t>%Pengisian posisi jabatan critical</t>
  </si>
  <si>
    <t>Pelaksanaan tindak lanjut penyelesaian temuan audit tata kelola, manajemen risiko, dan kepatuhan internal</t>
  </si>
  <si>
    <t>Jumlah tindak lanjut temuan audit yang telah dilaksanakan / Jumlah total temuan audit yang harus ditindaklanjuti x 100%</t>
  </si>
  <si>
    <t>Dept Head Manajemen Talenta dan Kinerja SDM</t>
  </si>
  <si>
    <t>Penyerapan Anggaran Dept Manajemen Talenta dan Kinerja SDM</t>
  </si>
  <si>
    <t>Selisih antara seluruh pendapatan dan seluruh biaya yang dikeluarkan perusahaan dalam periode tertentu pada Dept Manajemen Talenta dan Kinerja SDM.</t>
  </si>
  <si>
    <t>Pemantauan dan pengukuran pelaksanaan serta dampak roadmap pengelolaan SDM untuk memastikan tercapainya tujuan strategis pengelolaan SDM pada Dept Manajemen Talenta dan Kinerja SDM.</t>
  </si>
  <si>
    <t>Penyempurnaan Pengelolaan Talent Management berbasis Kompetensi</t>
  </si>
  <si>
    <t>Peningkatan sistem dan proses pengelolaan talent management yang terintegrasi dan berbasis kompetensi untuk mendukung pengembangan SDM secara optimal</t>
  </si>
  <si>
    <t>BULANAN</t>
  </si>
  <si>
    <t>DIRECT</t>
  </si>
  <si>
    <t>Kerangka kerja sistematis yang mengatur pengelolaan pengembangan karir pegawai secara terstruktur, terukur, dan berkelanjutan</t>
  </si>
  <si>
    <t>Standarisasi assessment pekerja PELINDO Group</t>
  </si>
  <si>
    <t>Standarisasi design assessment pekerja PELINDO Group</t>
  </si>
  <si>
    <t>realisasi/target</t>
  </si>
  <si>
    <t>Persentase penyelesaian temuan audit terkait tata kelola, manajemen risiko, dan kepatuhan internal pada Dept Manajemen Talenta dan Kinerja SDM.</t>
  </si>
  <si>
    <t>DUPLICATE</t>
  </si>
  <si>
    <t>COMMON</t>
  </si>
  <si>
    <t>Enhancement modul pms dan tms</t>
  </si>
  <si>
    <t>integrasi data pendukung pengelolaan talent, pengembangan internal assessment sehingga dapat digunakan sebagai dasar pengambilan keputusan serta peningkatan performance management system dan talent management system</t>
  </si>
  <si>
    <t>Mengkonsolidasikan realisasi anggaran untuk Dept Manajemen Talenta dan Kinerja SDM</t>
  </si>
  <si>
    <t>Pelaksanaan aktivitas pengelolaan strategi SDM secara efektif untuk mendukung pencapaian target Penyerapan Anggaran pada Dept Manajemen Talenta dan Kinerja SDM</t>
  </si>
  <si>
    <t>Pelaksanaan aktivitas monitoring dan evaluasi secara sistematis terhadap implementasi roadmap pengelolaan SDM untuk memastikan kesesuaian dan efektivitas pencapaian target pada Dept Manajemen Talenta dan Kinerja SDM.</t>
  </si>
  <si>
    <t>Pengelolaan Kinerja Individu</t>
  </si>
  <si>
    <t>Aktivitas pelaksanaan penyempurnaan proses dan sistem Talent Management berbasis kompetensi untuk memastikan pengelolaan SDM berjalan efektif dan terstandar</t>
  </si>
  <si>
    <t>a. % pengisian data kinerja individu (diturunkan)
b. %karyawan yang telah melakukan assessment (tidak diturunkan)</t>
  </si>
  <si>
    <t>Aktivitas yang mencakup pelaksanaan pengembangan, pemutakhiran, dan perbaikan kerangka kerja manajemen karir secara sistematis</t>
  </si>
  <si>
    <t>% progress program standarisasi assessment pekerja</t>
  </si>
  <si>
    <t>Realisasi program standarisasi assessment pekerja PELINDO Group</t>
  </si>
  <si>
    <t>1. Benchmarking terkait design internal assessment pekerja (15%)
2. Proses pengadaan konsultan (10%)
3. Proses design internal assessment kompetensi pekerja (40%)
4. Penyusunan Perdir terkait internal assessment pekerja PELINDO Group (35%)</t>
  </si>
  <si>
    <t>Proses pelaksanaan tindak lanjut terhadap temuan audit untuk memastikan pemenuhan tata kelola, manajemen risiko, dan kepatuhan internal pada Dept Manajemen Talenta dan Kinerja SDM.</t>
  </si>
  <si>
    <t>% progress enhancement modul pms dan tms</t>
  </si>
  <si>
    <t>Realisasi program standarisasi enhancement modul pms dan tms</t>
  </si>
  <si>
    <t>1. Dokumen hasil kebutuhan enhancement
2. dokumen BRD
3. dokumen kick off project enhancement pms dan tms
4. dokumen UAT pms dan tms</t>
  </si>
  <si>
    <t>Group Sekretariat Perusahaan</t>
  </si>
  <si>
    <t>Group Monitoring Evaluasi Strategi Perusahaan dan Inovasi</t>
  </si>
  <si>
    <t>Group Satuan Pengawasan Intern</t>
  </si>
  <si>
    <t>Group Strategi SDM</t>
  </si>
  <si>
    <t>Group Layanan SDM</t>
  </si>
  <si>
    <t>Group Pengadaan</t>
  </si>
  <si>
    <t>Group Peralatan Pelabuhan</t>
  </si>
  <si>
    <t>Group Pelayanan Terminal</t>
  </si>
  <si>
    <t>Group Pelayanan Kapal</t>
  </si>
  <si>
    <t>Group Manajemen Risiko, Tata Kelola, dan Kepatuhan</t>
  </si>
  <si>
    <t>Group K3 dan Sistem Manajemen</t>
  </si>
  <si>
    <t>Group Manajemen Portofolio Anak Perusahaan</t>
  </si>
  <si>
    <t>Group Manajemen Investasi</t>
  </si>
  <si>
    <t>Group Fasilitas Pelabuhan</t>
  </si>
  <si>
    <t>Group Pemasaran</t>
  </si>
  <si>
    <t>Group Manajemen Aset</t>
  </si>
  <si>
    <t>Group Perencanaan dan Performa Keuangan</t>
  </si>
  <si>
    <t>Group Strategi Korporasi dan Inovasi</t>
  </si>
  <si>
    <t>Group Akuntansi dan Perpajakan</t>
  </si>
  <si>
    <t>Group Teknologi Informasi</t>
  </si>
  <si>
    <t>Group Aliansi Bisnis</t>
  </si>
  <si>
    <t>Group Hukum</t>
  </si>
  <si>
    <t>Group Pengelolaan Keuangan</t>
  </si>
  <si>
    <t>Group Pengembangan SSC</t>
  </si>
  <si>
    <t>Group Pengendalian Proyek</t>
  </si>
  <si>
    <t>External ID (PKPI)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</si>
</sst>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Aptos Narrow"/>
      <scheme val="minor"/>
    </font>
    <font>
      <sz val="11"/>
      <color theme="1"/>
      <name val="Aptos Narrow"/>
    </font>
    <font>
      <b/>
      <sz val="10"/>
      <color rgb="FFFFFFFF"/>
      <name val="Roboto"/>
    </font>
    <font>
      <sz val="11"/>
      <color rgb="FFFFFFFF"/>
      <name val="Aptos Narrow"/>
      <scheme val="minor"/>
    </font>
    <font>
      <sz val="10"/>
      <color rgb="FF000000"/>
      <name val="Roboto"/>
    </font>
    <font>
      <sz val="10"/>
      <color theme="1"/>
      <name val="Aptos Narrow"/>
    </font>
    <font>
      <sz val="10"/>
      <color theme="1"/>
      <name val="Arial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4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" fontId="4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4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7" fillId="0" borderId="0" xfId="0" applyFont="1"/>
    <xf numFmtId="0" fontId="4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Font="1" applyBorder="1" applyAlignment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KPI Template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TEMP-style" pivot="0" count="4" xr9:uid="{00000000-0011-0000-FFFF-FFFF01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(BACKUP) KPI Template-style" pivot="0" count="4" xr9:uid="{00000000-0011-0000-FFFF-FFFF02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25">
  <autoFilter ref="A1:U25" xr:uid="{00000000-0009-0000-0100-000001000000}"/>
  <tableColumns count="21">
    <tableColumn id="1" xr3:uid="{00000000-0010-0000-0000-000001000000}" name="IDKPI"/>
    <tableColumn id="2" xr3:uid="{00000000-0010-0000-0000-000002000000}" name="Group"/>
    <tableColumn id="3" xr3:uid="{00000000-0010-0000-0000-000003000000}" name="Direktorat"/>
    <tableColumn id="4" xr3:uid="{00000000-0010-0000-0000-000004000000}" name="Posisi"/>
    <tableColumn id="5" xr3:uid="{00000000-0010-0000-0000-000005000000}" name="Position Master ID (Required)"/>
    <tableColumn id="6" xr3:uid="{00000000-0010-0000-0000-000006000000}" name="Position Master Variant ID (Required only for Non-Struktural)"/>
    <tableColumn id="7" xr3:uid="{00000000-0010-0000-0000-000007000000}" name="BSC Perspective"/>
    <tableColumn id="8" xr3:uid="{00000000-0010-0000-0000-000008000000}" name="KPI Type"/>
    <tableColumn id="9" xr3:uid="{00000000-0010-0000-0000-000009000000}" name="Parent KPI ID"/>
    <tableColumn id="10" xr3:uid="{00000000-0010-0000-0000-00000A000000}" name="Parent KPI Title"/>
    <tableColumn id="11" xr3:uid="{00000000-0010-0000-0000-00000B000000}" name="Title"/>
    <tableColumn id="12" xr3:uid="{00000000-0010-0000-0000-00000C000000}" name="Description"/>
    <tableColumn id="13" xr3:uid="{00000000-0010-0000-0000-00000D000000}" name="Unit"/>
    <tableColumn id="14" xr3:uid="{00000000-0010-0000-0000-00000E000000}" name="Polarity"/>
    <tableColumn id="15" xr3:uid="{00000000-0010-0000-0000-00000F000000}" name="Period"/>
    <tableColumn id="16" xr3:uid="{00000000-0010-0000-0000-000010000000}" name="Formula"/>
    <tableColumn id="17" xr3:uid="{00000000-0010-0000-0000-000011000000}" name="Weight (%)"/>
    <tableColumn id="18" xr3:uid="{00000000-0010-0000-0000-000012000000}" name="Cascading"/>
    <tableColumn id="19" xr3:uid="{00000000-0010-0000-0000-000013000000}" name="Ownership Type"/>
    <tableColumn id="20" xr3:uid="{00000000-0010-0000-0000-000014000000}" name="Nature Of Work (KAI Only)" dataDxfId="1"/>
    <tableColumn id="21" xr3:uid="{911C3B6F-2772-40AB-9F0A-1BA11533565D}" name="External ID (PKPI)" dataDxfId="0"/>
  </tableColumns>
  <tableStyleInfo name="KPI 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K25"/>
  <sheetViews>
    <sheetView tabSelected="1"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U8" sqref="U8"/>
    </sheetView>
  </sheetViews>
  <sheetFormatPr defaultColWidth="12.625" defaultRowHeight="15" customHeight="1"/>
  <cols>
    <col min="1" max="1" width="12.875" customWidth="1"/>
    <col min="2" max="2" width="33.375" customWidth="1"/>
    <col min="3" max="3" width="40.75" customWidth="1"/>
    <col min="4" max="4" width="28.375" customWidth="1"/>
    <col min="5" max="5" width="19.25" customWidth="1"/>
    <col min="6" max="7" width="31.25" customWidth="1"/>
    <col min="8" max="8" width="13.25" customWidth="1"/>
    <col min="9" max="9" width="12.125" customWidth="1"/>
    <col min="10" max="10" width="37" customWidth="1"/>
    <col min="11" max="11" width="58.75" customWidth="1"/>
    <col min="12" max="12" width="96" customWidth="1"/>
    <col min="13" max="13" width="21.75" customWidth="1"/>
    <col min="14" max="14" width="15" customWidth="1"/>
    <col min="15" max="15" width="24.125" customWidth="1"/>
    <col min="16" max="16" width="110.75" customWidth="1"/>
    <col min="18" max="18" width="15.875" customWidth="1"/>
    <col min="19" max="19" width="15.5" customWidth="1"/>
    <col min="20" max="20" width="29.125" customWidth="1"/>
  </cols>
  <sheetData>
    <row r="1" spans="1:37" ht="29.25" customHeight="1">
      <c r="A1" s="1" t="s">
        <v>19</v>
      </c>
      <c r="B1" s="2" t="s">
        <v>20</v>
      </c>
      <c r="C1" s="2" t="s">
        <v>0</v>
      </c>
      <c r="D1" s="2" t="s">
        <v>21</v>
      </c>
      <c r="E1" s="3" t="s">
        <v>22</v>
      </c>
      <c r="F1" s="3" t="s">
        <v>23</v>
      </c>
      <c r="G1" s="1" t="s">
        <v>24</v>
      </c>
      <c r="H1" s="1" t="s">
        <v>25</v>
      </c>
      <c r="I1" s="1" t="s">
        <v>26</v>
      </c>
      <c r="J1" s="3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33" t="s">
        <v>37</v>
      </c>
      <c r="U1" s="33" t="s">
        <v>142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ht="22.5" customHeight="1">
      <c r="A2" s="5">
        <v>29</v>
      </c>
      <c r="B2" s="6" t="s">
        <v>38</v>
      </c>
      <c r="C2" s="6" t="s">
        <v>6</v>
      </c>
      <c r="D2" s="12" t="s">
        <v>86</v>
      </c>
      <c r="E2" s="5">
        <v>514</v>
      </c>
      <c r="F2" s="5">
        <v>177</v>
      </c>
      <c r="G2" s="13" t="s">
        <v>39</v>
      </c>
      <c r="H2" s="8" t="s">
        <v>40</v>
      </c>
      <c r="I2" s="9"/>
      <c r="J2" s="5" t="e">
        <f>VLOOKUP(I2,Table1[[#All],[IDKPI]:[Title]],11,FALSE)</f>
        <v>#N/A</v>
      </c>
      <c r="K2" s="11" t="s">
        <v>13</v>
      </c>
      <c r="L2" s="9"/>
      <c r="M2" s="6" t="s">
        <v>41</v>
      </c>
      <c r="N2" s="8" t="s">
        <v>42</v>
      </c>
      <c r="O2" s="14" t="s">
        <v>43</v>
      </c>
      <c r="P2" s="11" t="s">
        <v>57</v>
      </c>
      <c r="Q2" s="10">
        <v>15</v>
      </c>
      <c r="R2" s="7"/>
      <c r="S2" s="32"/>
      <c r="T2" s="34"/>
      <c r="U2" s="35"/>
    </row>
    <row r="3" spans="1:37" ht="22.5" customHeight="1">
      <c r="A3" s="5">
        <v>30</v>
      </c>
      <c r="B3" s="6" t="s">
        <v>38</v>
      </c>
      <c r="C3" s="6" t="s">
        <v>6</v>
      </c>
      <c r="D3" s="11" t="s">
        <v>86</v>
      </c>
      <c r="E3" s="5">
        <v>514</v>
      </c>
      <c r="F3" s="5">
        <v>177</v>
      </c>
      <c r="G3" s="13" t="s">
        <v>39</v>
      </c>
      <c r="H3" s="8" t="s">
        <v>40</v>
      </c>
      <c r="I3" s="9"/>
      <c r="J3" s="5" t="e">
        <f>VLOOKUP(I3,Table1[[#All],[IDKPI]:[Title]],11,FALSE)</f>
        <v>#N/A</v>
      </c>
      <c r="K3" s="11" t="s">
        <v>9</v>
      </c>
      <c r="L3" s="9"/>
      <c r="M3" s="6" t="s">
        <v>41</v>
      </c>
      <c r="N3" s="8" t="s">
        <v>42</v>
      </c>
      <c r="O3" s="14" t="s">
        <v>43</v>
      </c>
      <c r="P3" s="11" t="s">
        <v>44</v>
      </c>
      <c r="Q3" s="10">
        <v>15</v>
      </c>
      <c r="R3" s="7"/>
      <c r="S3" s="32"/>
      <c r="T3" s="34"/>
      <c r="U3" s="35"/>
    </row>
    <row r="4" spans="1:37" ht="22.5" customHeight="1">
      <c r="A4" s="5">
        <v>31</v>
      </c>
      <c r="B4" s="6" t="s">
        <v>38</v>
      </c>
      <c r="C4" s="6" t="s">
        <v>6</v>
      </c>
      <c r="D4" s="11" t="s">
        <v>86</v>
      </c>
      <c r="E4" s="5">
        <v>514</v>
      </c>
      <c r="F4" s="5">
        <v>177</v>
      </c>
      <c r="G4" s="13" t="s">
        <v>45</v>
      </c>
      <c r="H4" s="8" t="s">
        <v>40</v>
      </c>
      <c r="I4" s="9"/>
      <c r="J4" s="5" t="e">
        <f>VLOOKUP(I4,Table1[[#All],[IDKPI]:[Title]],11,FALSE)</f>
        <v>#N/A</v>
      </c>
      <c r="K4" s="11" t="s">
        <v>17</v>
      </c>
      <c r="L4" s="9"/>
      <c r="M4" s="6" t="s">
        <v>46</v>
      </c>
      <c r="N4" s="8" t="s">
        <v>42</v>
      </c>
      <c r="O4" s="14" t="s">
        <v>43</v>
      </c>
      <c r="P4" s="11" t="s">
        <v>47</v>
      </c>
      <c r="Q4" s="10">
        <v>15</v>
      </c>
      <c r="R4" s="7"/>
      <c r="S4" s="32"/>
      <c r="T4" s="34"/>
      <c r="U4" s="35"/>
    </row>
    <row r="5" spans="1:37" ht="22.5" customHeight="1">
      <c r="A5" s="5">
        <v>32</v>
      </c>
      <c r="B5" s="6" t="s">
        <v>38</v>
      </c>
      <c r="C5" s="6" t="s">
        <v>6</v>
      </c>
      <c r="D5" s="11" t="s">
        <v>86</v>
      </c>
      <c r="E5" s="5">
        <v>514</v>
      </c>
      <c r="F5" s="5">
        <v>177</v>
      </c>
      <c r="G5" s="13" t="s">
        <v>45</v>
      </c>
      <c r="H5" s="8" t="s">
        <v>40</v>
      </c>
      <c r="I5" s="9"/>
      <c r="J5" s="5" t="e">
        <f>VLOOKUP(I5,Table1[[#All],[IDKPI]:[Title]],11,FALSE)</f>
        <v>#N/A</v>
      </c>
      <c r="K5" s="11" t="s">
        <v>18</v>
      </c>
      <c r="L5" s="9"/>
      <c r="M5" s="6" t="s">
        <v>46</v>
      </c>
      <c r="N5" s="8" t="s">
        <v>42</v>
      </c>
      <c r="O5" s="14" t="s">
        <v>43</v>
      </c>
      <c r="P5" s="11" t="s">
        <v>48</v>
      </c>
      <c r="Q5" s="10">
        <v>10</v>
      </c>
      <c r="R5" s="7"/>
      <c r="S5" s="32"/>
      <c r="T5" s="34"/>
      <c r="U5" s="35"/>
    </row>
    <row r="6" spans="1:37" ht="22.5" customHeight="1">
      <c r="A6" s="5">
        <v>33</v>
      </c>
      <c r="B6" s="6" t="s">
        <v>38</v>
      </c>
      <c r="C6" s="6" t="s">
        <v>6</v>
      </c>
      <c r="D6" s="11" t="s">
        <v>86</v>
      </c>
      <c r="E6" s="5">
        <v>514</v>
      </c>
      <c r="F6" s="5">
        <v>177</v>
      </c>
      <c r="G6" s="13" t="s">
        <v>49</v>
      </c>
      <c r="H6" s="8" t="s">
        <v>40</v>
      </c>
      <c r="I6" s="9"/>
      <c r="J6" s="5" t="e">
        <f>VLOOKUP(I6,Table1[[#All],[IDKPI]:[Title]],11,FALSE)</f>
        <v>#N/A</v>
      </c>
      <c r="K6" s="11" t="s">
        <v>10</v>
      </c>
      <c r="L6" s="9"/>
      <c r="M6" s="6" t="s">
        <v>50</v>
      </c>
      <c r="N6" s="8" t="s">
        <v>42</v>
      </c>
      <c r="O6" s="14" t="s">
        <v>51</v>
      </c>
      <c r="P6" s="11" t="s">
        <v>52</v>
      </c>
      <c r="Q6" s="10">
        <v>5</v>
      </c>
      <c r="R6" s="7"/>
      <c r="S6" s="32"/>
      <c r="T6" s="34"/>
      <c r="U6" s="35"/>
    </row>
    <row r="7" spans="1:37" ht="22.5" customHeight="1">
      <c r="A7" s="5">
        <v>34</v>
      </c>
      <c r="B7" s="6" t="s">
        <v>38</v>
      </c>
      <c r="C7" s="6" t="s">
        <v>6</v>
      </c>
      <c r="D7" s="11" t="s">
        <v>86</v>
      </c>
      <c r="E7" s="5">
        <v>514</v>
      </c>
      <c r="F7" s="5">
        <v>177</v>
      </c>
      <c r="G7" s="13" t="s">
        <v>49</v>
      </c>
      <c r="H7" s="8" t="s">
        <v>40</v>
      </c>
      <c r="I7" s="9"/>
      <c r="J7" s="5" t="e">
        <f>VLOOKUP(I7,Table1[[#All],[IDKPI]:[Title]],11,FALSE)</f>
        <v>#N/A</v>
      </c>
      <c r="K7" s="11" t="s">
        <v>11</v>
      </c>
      <c r="L7" s="9"/>
      <c r="M7" s="6" t="s">
        <v>50</v>
      </c>
      <c r="N7" s="8" t="s">
        <v>53</v>
      </c>
      <c r="O7" s="14" t="s">
        <v>43</v>
      </c>
      <c r="P7" s="11" t="s">
        <v>54</v>
      </c>
      <c r="Q7" s="10">
        <v>5</v>
      </c>
      <c r="R7" s="7"/>
      <c r="S7" s="32"/>
      <c r="T7" s="34"/>
      <c r="U7" s="35"/>
    </row>
    <row r="8" spans="1:37" ht="22.5" customHeight="1">
      <c r="A8" s="5">
        <v>35</v>
      </c>
      <c r="B8" s="6" t="s">
        <v>38</v>
      </c>
      <c r="C8" s="6" t="s">
        <v>6</v>
      </c>
      <c r="D8" s="11" t="s">
        <v>86</v>
      </c>
      <c r="E8" s="5">
        <v>514</v>
      </c>
      <c r="F8" s="5">
        <v>177</v>
      </c>
      <c r="G8" s="13" t="s">
        <v>49</v>
      </c>
      <c r="H8" s="8" t="s">
        <v>40</v>
      </c>
      <c r="I8" s="9"/>
      <c r="J8" s="5" t="e">
        <f>VLOOKUP(I8,Table1[[#All],[IDKPI]:[Title]],11,FALSE)</f>
        <v>#N/A</v>
      </c>
      <c r="K8" s="11" t="s">
        <v>14</v>
      </c>
      <c r="L8" s="9"/>
      <c r="M8" s="6" t="s">
        <v>46</v>
      </c>
      <c r="N8" s="8" t="s">
        <v>53</v>
      </c>
      <c r="O8" s="14" t="s">
        <v>43</v>
      </c>
      <c r="P8" s="11" t="s">
        <v>55</v>
      </c>
      <c r="Q8" s="10">
        <v>5</v>
      </c>
      <c r="R8" s="7"/>
      <c r="S8" s="32"/>
      <c r="T8" s="34"/>
      <c r="U8" s="35"/>
    </row>
    <row r="9" spans="1:37" ht="22.5" customHeight="1">
      <c r="A9" s="5">
        <v>36</v>
      </c>
      <c r="B9" s="6" t="s">
        <v>38</v>
      </c>
      <c r="C9" s="6" t="s">
        <v>6</v>
      </c>
      <c r="D9" s="11" t="s">
        <v>86</v>
      </c>
      <c r="E9" s="5">
        <v>514</v>
      </c>
      <c r="F9" s="5">
        <v>177</v>
      </c>
      <c r="G9" s="13" t="s">
        <v>49</v>
      </c>
      <c r="H9" s="8" t="s">
        <v>40</v>
      </c>
      <c r="I9" s="9"/>
      <c r="J9" s="5" t="e">
        <f>VLOOKUP(I9,Table1[[#All],[IDKPI]:[Title]],11,FALSE)</f>
        <v>#N/A</v>
      </c>
      <c r="K9" s="11" t="s">
        <v>15</v>
      </c>
      <c r="L9" s="9"/>
      <c r="M9" s="6" t="s">
        <v>46</v>
      </c>
      <c r="N9" s="8" t="s">
        <v>42</v>
      </c>
      <c r="O9" s="14" t="s">
        <v>43</v>
      </c>
      <c r="P9" s="11" t="s">
        <v>56</v>
      </c>
      <c r="Q9" s="10">
        <v>10</v>
      </c>
      <c r="R9" s="7"/>
      <c r="S9" s="32"/>
      <c r="T9" s="34"/>
      <c r="U9" s="35"/>
    </row>
    <row r="10" spans="1:37" ht="22.5" customHeight="1">
      <c r="A10" s="5">
        <v>37</v>
      </c>
      <c r="B10" s="6" t="s">
        <v>38</v>
      </c>
      <c r="C10" s="6" t="s">
        <v>6</v>
      </c>
      <c r="D10" s="11" t="s">
        <v>86</v>
      </c>
      <c r="E10" s="5">
        <v>514</v>
      </c>
      <c r="F10" s="5">
        <v>177</v>
      </c>
      <c r="G10" s="13" t="s">
        <v>49</v>
      </c>
      <c r="H10" s="8" t="s">
        <v>40</v>
      </c>
      <c r="I10" s="9"/>
      <c r="J10" s="5" t="e">
        <f>VLOOKUP(I10,Table1[[#All],[IDKPI]:[Title]],11,FALSE)</f>
        <v>#N/A</v>
      </c>
      <c r="K10" s="11" t="s">
        <v>16</v>
      </c>
      <c r="L10" s="9"/>
      <c r="M10" s="6" t="s">
        <v>58</v>
      </c>
      <c r="N10" s="8" t="s">
        <v>42</v>
      </c>
      <c r="O10" s="14" t="s">
        <v>43</v>
      </c>
      <c r="P10" s="11" t="s">
        <v>59</v>
      </c>
      <c r="Q10" s="10">
        <v>15</v>
      </c>
      <c r="R10" s="7"/>
      <c r="S10" s="32"/>
      <c r="T10" s="34"/>
      <c r="U10" s="35"/>
    </row>
    <row r="11" spans="1:37" ht="22.5" customHeight="1">
      <c r="A11" s="5">
        <v>38</v>
      </c>
      <c r="B11" s="6" t="s">
        <v>38</v>
      </c>
      <c r="C11" s="6" t="s">
        <v>6</v>
      </c>
      <c r="D11" s="11" t="s">
        <v>86</v>
      </c>
      <c r="E11" s="5">
        <v>514</v>
      </c>
      <c r="F11" s="5">
        <v>177</v>
      </c>
      <c r="G11" s="15" t="s">
        <v>60</v>
      </c>
      <c r="H11" s="8" t="s">
        <v>40</v>
      </c>
      <c r="I11" s="9"/>
      <c r="J11" s="5" t="e">
        <f>VLOOKUP(I11,Table1[[#All],[IDKPI]:[Title]],11,FALSE)</f>
        <v>#N/A</v>
      </c>
      <c r="K11" s="11" t="s">
        <v>12</v>
      </c>
      <c r="L11" s="9"/>
      <c r="M11" s="6" t="s">
        <v>61</v>
      </c>
      <c r="N11" s="8" t="s">
        <v>42</v>
      </c>
      <c r="O11" s="14" t="s">
        <v>43</v>
      </c>
      <c r="P11" s="11" t="s">
        <v>62</v>
      </c>
      <c r="Q11" s="10">
        <v>5</v>
      </c>
      <c r="R11" s="7"/>
      <c r="S11" s="32"/>
      <c r="T11" s="34"/>
      <c r="U11" s="35"/>
    </row>
    <row r="12" spans="1:37" ht="22.5" customHeight="1">
      <c r="A12" s="5">
        <v>39</v>
      </c>
      <c r="B12" s="6" t="s">
        <v>38</v>
      </c>
      <c r="C12" s="6" t="s">
        <v>6</v>
      </c>
      <c r="D12" s="11" t="s">
        <v>86</v>
      </c>
      <c r="E12" s="5">
        <v>514</v>
      </c>
      <c r="F12" s="5">
        <v>177</v>
      </c>
      <c r="G12" s="8" t="s">
        <v>39</v>
      </c>
      <c r="H12" s="8" t="s">
        <v>63</v>
      </c>
      <c r="I12" s="5">
        <v>29</v>
      </c>
      <c r="J12" s="5" t="str">
        <f>VLOOKUP(I12,Table1[[#All],[IDKPI]:[Title]],11,FALSE)</f>
        <v>Net Income</v>
      </c>
      <c r="K12" s="16" t="s">
        <v>87</v>
      </c>
      <c r="L12" s="6" t="s">
        <v>88</v>
      </c>
      <c r="M12" s="6" t="s">
        <v>46</v>
      </c>
      <c r="N12" s="8" t="s">
        <v>42</v>
      </c>
      <c r="O12" s="14" t="s">
        <v>43</v>
      </c>
      <c r="P12" s="6" t="s">
        <v>64</v>
      </c>
      <c r="Q12" s="10">
        <v>10</v>
      </c>
      <c r="R12" s="7" t="s">
        <v>65</v>
      </c>
      <c r="S12" s="32" t="s">
        <v>66</v>
      </c>
      <c r="T12" s="34"/>
      <c r="U12" s="35"/>
    </row>
    <row r="13" spans="1:37" ht="22.5" customHeight="1">
      <c r="A13" s="5">
        <v>40</v>
      </c>
      <c r="B13" s="6" t="s">
        <v>38</v>
      </c>
      <c r="C13" s="6" t="s">
        <v>6</v>
      </c>
      <c r="D13" s="11" t="s">
        <v>86</v>
      </c>
      <c r="E13" s="5">
        <v>514</v>
      </c>
      <c r="F13" s="5">
        <v>177</v>
      </c>
      <c r="G13" s="15" t="s">
        <v>60</v>
      </c>
      <c r="H13" s="8" t="s">
        <v>63</v>
      </c>
      <c r="I13" s="5">
        <v>38</v>
      </c>
      <c r="J13" s="5" t="str">
        <f>VLOOKUP(I13,Table1[[#All],[IDKPI]:[Title]],11,FALSE)</f>
        <v>Manpower productivity (Revenue per total manpower)</v>
      </c>
      <c r="K13" s="6" t="s">
        <v>69</v>
      </c>
      <c r="L13" s="6" t="s">
        <v>89</v>
      </c>
      <c r="M13" s="6" t="s">
        <v>46</v>
      </c>
      <c r="N13" s="8" t="s">
        <v>42</v>
      </c>
      <c r="O13" s="14" t="s">
        <v>43</v>
      </c>
      <c r="P13" s="6" t="s">
        <v>70</v>
      </c>
      <c r="Q13" s="17">
        <v>10</v>
      </c>
      <c r="R13" s="7" t="s">
        <v>65</v>
      </c>
      <c r="S13" s="32" t="s">
        <v>68</v>
      </c>
      <c r="T13" s="34"/>
      <c r="U13" s="35"/>
    </row>
    <row r="14" spans="1:37" ht="22.5" customHeight="1">
      <c r="A14" s="5">
        <v>41</v>
      </c>
      <c r="B14" s="6" t="s">
        <v>38</v>
      </c>
      <c r="C14" s="6" t="s">
        <v>6</v>
      </c>
      <c r="D14" s="11" t="s">
        <v>86</v>
      </c>
      <c r="E14" s="5">
        <v>514</v>
      </c>
      <c r="F14" s="5">
        <v>177</v>
      </c>
      <c r="G14" s="15" t="s">
        <v>60</v>
      </c>
      <c r="H14" s="8" t="s">
        <v>63</v>
      </c>
      <c r="I14" s="5">
        <v>38</v>
      </c>
      <c r="J14" s="5" t="str">
        <f>VLOOKUP(I14,Table1[[#All],[IDKPI]:[Title]],11,FALSE)</f>
        <v>Manpower productivity (Revenue per total manpower)</v>
      </c>
      <c r="K14" s="6" t="s">
        <v>90</v>
      </c>
      <c r="L14" s="6" t="s">
        <v>91</v>
      </c>
      <c r="M14" s="6" t="s">
        <v>46</v>
      </c>
      <c r="N14" s="8" t="s">
        <v>42</v>
      </c>
      <c r="O14" s="8" t="s">
        <v>92</v>
      </c>
      <c r="P14" s="6" t="s">
        <v>71</v>
      </c>
      <c r="Q14" s="17">
        <v>10</v>
      </c>
      <c r="R14" s="7" t="s">
        <v>93</v>
      </c>
      <c r="S14" s="32" t="s">
        <v>68</v>
      </c>
      <c r="T14" s="34"/>
      <c r="U14" s="35"/>
    </row>
    <row r="15" spans="1:37" ht="22.5" customHeight="1">
      <c r="A15" s="5">
        <v>42</v>
      </c>
      <c r="B15" s="6" t="s">
        <v>38</v>
      </c>
      <c r="C15" s="6" t="s">
        <v>6</v>
      </c>
      <c r="D15" s="11" t="s">
        <v>86</v>
      </c>
      <c r="E15" s="5">
        <v>514</v>
      </c>
      <c r="F15" s="5">
        <v>177</v>
      </c>
      <c r="G15" s="15" t="s">
        <v>60</v>
      </c>
      <c r="H15" s="8" t="s">
        <v>63</v>
      </c>
      <c r="I15" s="5">
        <v>38</v>
      </c>
      <c r="J15" s="5" t="str">
        <f>VLOOKUP(I15,Table1[[#All],[IDKPI]:[Title]],11,FALSE)</f>
        <v>Manpower productivity (Revenue per total manpower)</v>
      </c>
      <c r="K15" s="6" t="s">
        <v>72</v>
      </c>
      <c r="L15" s="6" t="s">
        <v>94</v>
      </c>
      <c r="M15" s="6" t="s">
        <v>46</v>
      </c>
      <c r="N15" s="8" t="s">
        <v>42</v>
      </c>
      <c r="O15" s="8" t="s">
        <v>67</v>
      </c>
      <c r="P15" s="6" t="s">
        <v>73</v>
      </c>
      <c r="Q15" s="10">
        <v>25</v>
      </c>
      <c r="R15" s="7" t="s">
        <v>65</v>
      </c>
      <c r="S15" s="32" t="s">
        <v>68</v>
      </c>
      <c r="T15" s="34"/>
      <c r="U15" s="35"/>
    </row>
    <row r="16" spans="1:37" ht="22.5" customHeight="1">
      <c r="A16" s="5">
        <v>43</v>
      </c>
      <c r="B16" s="6" t="s">
        <v>38</v>
      </c>
      <c r="C16" s="6" t="s">
        <v>6</v>
      </c>
      <c r="D16" s="11" t="s">
        <v>86</v>
      </c>
      <c r="E16" s="5">
        <v>514</v>
      </c>
      <c r="F16" s="5">
        <v>177</v>
      </c>
      <c r="G16" s="15" t="s">
        <v>60</v>
      </c>
      <c r="H16" s="8" t="s">
        <v>63</v>
      </c>
      <c r="I16" s="5">
        <v>38</v>
      </c>
      <c r="J16" s="5" t="str">
        <f>VLOOKUP(I16,Table1[[#All],[IDKPI]:[Title]],11,FALSE)</f>
        <v>Manpower productivity (Revenue per total manpower)</v>
      </c>
      <c r="K16" s="6" t="s">
        <v>95</v>
      </c>
      <c r="L16" s="6" t="s">
        <v>96</v>
      </c>
      <c r="M16" s="6" t="s">
        <v>46</v>
      </c>
      <c r="N16" s="8" t="s">
        <v>42</v>
      </c>
      <c r="O16" s="8" t="s">
        <v>51</v>
      </c>
      <c r="P16" s="6" t="s">
        <v>97</v>
      </c>
      <c r="Q16" s="10">
        <v>20</v>
      </c>
      <c r="R16" s="7" t="s">
        <v>93</v>
      </c>
      <c r="S16" s="32" t="s">
        <v>68</v>
      </c>
      <c r="T16" s="34"/>
      <c r="U16" s="35"/>
    </row>
    <row r="17" spans="1:21" ht="22.5" customHeight="1">
      <c r="A17" s="5">
        <v>44</v>
      </c>
      <c r="B17" s="6" t="s">
        <v>38</v>
      </c>
      <c r="C17" s="6" t="s">
        <v>6</v>
      </c>
      <c r="D17" s="11" t="s">
        <v>86</v>
      </c>
      <c r="E17" s="5">
        <v>514</v>
      </c>
      <c r="F17" s="5">
        <v>177</v>
      </c>
      <c r="G17" s="15" t="s">
        <v>60</v>
      </c>
      <c r="H17" s="8" t="s">
        <v>63</v>
      </c>
      <c r="I17" s="5">
        <v>38</v>
      </c>
      <c r="J17" s="5" t="str">
        <f>VLOOKUP(I17,Table1[[#All],[IDKPI]:[Title]],11,FALSE)</f>
        <v>Manpower productivity (Revenue per total manpower)</v>
      </c>
      <c r="K17" s="6" t="s">
        <v>74</v>
      </c>
      <c r="L17" s="6" t="s">
        <v>98</v>
      </c>
      <c r="M17" s="6" t="s">
        <v>46</v>
      </c>
      <c r="N17" s="8" t="s">
        <v>53</v>
      </c>
      <c r="O17" s="8" t="s">
        <v>67</v>
      </c>
      <c r="P17" s="6" t="s">
        <v>75</v>
      </c>
      <c r="Q17" s="10">
        <v>5</v>
      </c>
      <c r="R17" s="7" t="s">
        <v>99</v>
      </c>
      <c r="S17" s="32" t="s">
        <v>100</v>
      </c>
      <c r="T17" s="34"/>
      <c r="U17" s="35"/>
    </row>
    <row r="18" spans="1:21" ht="22.5" customHeight="1">
      <c r="A18" s="18">
        <v>45</v>
      </c>
      <c r="B18" s="6" t="s">
        <v>38</v>
      </c>
      <c r="C18" s="6" t="s">
        <v>6</v>
      </c>
      <c r="D18" s="11" t="s">
        <v>86</v>
      </c>
      <c r="E18" s="5">
        <v>514</v>
      </c>
      <c r="F18" s="5">
        <v>177</v>
      </c>
      <c r="G18" s="15" t="s">
        <v>60</v>
      </c>
      <c r="H18" s="8" t="s">
        <v>63</v>
      </c>
      <c r="I18" s="5">
        <v>38</v>
      </c>
      <c r="J18" s="18" t="str">
        <f>VLOOKUP(I18,Table1[[#All],[IDKPI]:[Title]],11,FALSE)</f>
        <v>Manpower productivity (Revenue per total manpower)</v>
      </c>
      <c r="K18" s="19" t="s">
        <v>101</v>
      </c>
      <c r="L18" s="6" t="s">
        <v>102</v>
      </c>
      <c r="M18" s="6" t="s">
        <v>46</v>
      </c>
      <c r="N18" s="8" t="s">
        <v>42</v>
      </c>
      <c r="O18" s="8" t="s">
        <v>92</v>
      </c>
      <c r="P18" s="6" t="s">
        <v>97</v>
      </c>
      <c r="Q18" s="10">
        <v>20</v>
      </c>
      <c r="R18" s="7" t="s">
        <v>93</v>
      </c>
      <c r="S18" s="32" t="s">
        <v>68</v>
      </c>
      <c r="T18" s="34"/>
      <c r="U18" s="35"/>
    </row>
    <row r="19" spans="1:21" ht="22.5" customHeight="1">
      <c r="A19" s="5">
        <v>46</v>
      </c>
      <c r="B19" s="20" t="s">
        <v>38</v>
      </c>
      <c r="C19" s="20" t="s">
        <v>6</v>
      </c>
      <c r="D19" s="21" t="s">
        <v>86</v>
      </c>
      <c r="E19" s="22">
        <v>514</v>
      </c>
      <c r="F19" s="22">
        <v>177</v>
      </c>
      <c r="G19" s="23" t="s">
        <v>39</v>
      </c>
      <c r="H19" s="24" t="s">
        <v>76</v>
      </c>
      <c r="I19" s="25">
        <v>39</v>
      </c>
      <c r="J19" s="5" t="str">
        <f>VLOOKUP(I19,Table1[[#All],[IDKPI]:[Title]],11,FALSE)</f>
        <v>Penyerapan Anggaran Dept Manajemen Talenta dan Kinerja SDM</v>
      </c>
      <c r="K19" s="20" t="s">
        <v>103</v>
      </c>
      <c r="L19" s="20" t="s">
        <v>104</v>
      </c>
      <c r="M19" s="20" t="s">
        <v>46</v>
      </c>
      <c r="N19" s="26" t="s">
        <v>42</v>
      </c>
      <c r="O19" s="26" t="s">
        <v>43</v>
      </c>
      <c r="P19" s="20" t="s">
        <v>77</v>
      </c>
      <c r="Q19" s="27">
        <v>10</v>
      </c>
      <c r="R19" s="28" t="s">
        <v>65</v>
      </c>
      <c r="S19" s="32" t="s">
        <v>66</v>
      </c>
      <c r="T19" s="34" t="s">
        <v>78</v>
      </c>
      <c r="U19" s="35"/>
    </row>
    <row r="20" spans="1:21" ht="22.5" customHeight="1">
      <c r="A20" s="5">
        <v>47</v>
      </c>
      <c r="B20" s="20" t="s">
        <v>38</v>
      </c>
      <c r="C20" s="20" t="s">
        <v>6</v>
      </c>
      <c r="D20" s="21" t="s">
        <v>86</v>
      </c>
      <c r="E20" s="22">
        <v>514</v>
      </c>
      <c r="F20" s="22">
        <v>177</v>
      </c>
      <c r="G20" s="23" t="s">
        <v>60</v>
      </c>
      <c r="H20" s="24" t="s">
        <v>76</v>
      </c>
      <c r="I20" s="25">
        <v>40</v>
      </c>
      <c r="J20" s="5" t="str">
        <f>VLOOKUP(I20,Table1[[#All],[IDKPI]:[Title]],11,FALSE)</f>
        <v>HC Roadmap Delivery &amp; Impact Monitoring Bidang Pengelolaan SDM</v>
      </c>
      <c r="K20" s="20" t="s">
        <v>80</v>
      </c>
      <c r="L20" s="20" t="s">
        <v>105</v>
      </c>
      <c r="M20" s="20" t="s">
        <v>46</v>
      </c>
      <c r="N20" s="26" t="s">
        <v>42</v>
      </c>
      <c r="O20" s="26" t="s">
        <v>43</v>
      </c>
      <c r="P20" s="20" t="s">
        <v>81</v>
      </c>
      <c r="Q20" s="29">
        <v>10</v>
      </c>
      <c r="R20" s="28" t="s">
        <v>65</v>
      </c>
      <c r="S20" s="32" t="s">
        <v>68</v>
      </c>
      <c r="T20" s="34" t="s">
        <v>78</v>
      </c>
      <c r="U20" s="35"/>
    </row>
    <row r="21" spans="1:21" ht="22.5" customHeight="1">
      <c r="A21" s="5">
        <v>48</v>
      </c>
      <c r="B21" s="20" t="s">
        <v>38</v>
      </c>
      <c r="C21" s="20" t="s">
        <v>6</v>
      </c>
      <c r="D21" s="21" t="s">
        <v>86</v>
      </c>
      <c r="E21" s="22">
        <v>514</v>
      </c>
      <c r="F21" s="22">
        <v>177</v>
      </c>
      <c r="G21" s="23" t="s">
        <v>60</v>
      </c>
      <c r="H21" s="24" t="s">
        <v>76</v>
      </c>
      <c r="I21" s="25">
        <v>41</v>
      </c>
      <c r="J21" s="5" t="str">
        <f>VLOOKUP(I21,Table1[[#All],[IDKPI]:[Title]],11,FALSE)</f>
        <v>Penyempurnaan Pengelolaan Talent Management berbasis Kompetensi</v>
      </c>
      <c r="K21" s="20" t="s">
        <v>106</v>
      </c>
      <c r="L21" s="20" t="s">
        <v>107</v>
      </c>
      <c r="M21" s="20" t="s">
        <v>46</v>
      </c>
      <c r="N21" s="26" t="s">
        <v>42</v>
      </c>
      <c r="O21" s="26" t="s">
        <v>92</v>
      </c>
      <c r="P21" s="20" t="s">
        <v>108</v>
      </c>
      <c r="Q21" s="29">
        <v>10</v>
      </c>
      <c r="R21" s="28" t="s">
        <v>93</v>
      </c>
      <c r="S21" s="32" t="s">
        <v>68</v>
      </c>
      <c r="T21" s="34" t="s">
        <v>78</v>
      </c>
      <c r="U21" s="35"/>
    </row>
    <row r="22" spans="1:21" ht="22.5" customHeight="1">
      <c r="A22" s="5">
        <v>49</v>
      </c>
      <c r="B22" s="20" t="s">
        <v>38</v>
      </c>
      <c r="C22" s="20" t="s">
        <v>6</v>
      </c>
      <c r="D22" s="21" t="s">
        <v>86</v>
      </c>
      <c r="E22" s="22">
        <v>514</v>
      </c>
      <c r="F22" s="22">
        <v>177</v>
      </c>
      <c r="G22" s="23" t="s">
        <v>60</v>
      </c>
      <c r="H22" s="24" t="s">
        <v>76</v>
      </c>
      <c r="I22" s="25">
        <v>42</v>
      </c>
      <c r="J22" s="5" t="str">
        <f>VLOOKUP(I22,Table1[[#All],[IDKPI]:[Title]],11,FALSE)</f>
        <v>Career Management Framework</v>
      </c>
      <c r="K22" s="20" t="s">
        <v>82</v>
      </c>
      <c r="L22" s="20" t="s">
        <v>109</v>
      </c>
      <c r="M22" s="20" t="s">
        <v>46</v>
      </c>
      <c r="N22" s="26" t="s">
        <v>42</v>
      </c>
      <c r="O22" s="26" t="s">
        <v>67</v>
      </c>
      <c r="P22" s="20" t="s">
        <v>83</v>
      </c>
      <c r="Q22" s="27">
        <v>25</v>
      </c>
      <c r="R22" s="28" t="s">
        <v>65</v>
      </c>
      <c r="S22" s="32" t="s">
        <v>68</v>
      </c>
      <c r="T22" s="34" t="s">
        <v>79</v>
      </c>
      <c r="U22" s="35"/>
    </row>
    <row r="23" spans="1:21" ht="22.5" customHeight="1">
      <c r="A23" s="5">
        <v>50</v>
      </c>
      <c r="B23" s="20" t="s">
        <v>38</v>
      </c>
      <c r="C23" s="20" t="s">
        <v>6</v>
      </c>
      <c r="D23" s="21" t="s">
        <v>86</v>
      </c>
      <c r="E23" s="22">
        <v>514</v>
      </c>
      <c r="F23" s="22">
        <v>177</v>
      </c>
      <c r="G23" s="23" t="s">
        <v>60</v>
      </c>
      <c r="H23" s="24" t="s">
        <v>76</v>
      </c>
      <c r="I23" s="25">
        <v>43</v>
      </c>
      <c r="J23" s="5" t="str">
        <f>VLOOKUP(I23,Table1[[#All],[IDKPI]:[Title]],11,FALSE)</f>
        <v>Standarisasi assessment pekerja PELINDO Group</v>
      </c>
      <c r="K23" s="20" t="s">
        <v>110</v>
      </c>
      <c r="L23" s="20" t="s">
        <v>111</v>
      </c>
      <c r="M23" s="20" t="s">
        <v>46</v>
      </c>
      <c r="N23" s="26" t="s">
        <v>42</v>
      </c>
      <c r="O23" s="26" t="s">
        <v>51</v>
      </c>
      <c r="P23" s="20" t="s">
        <v>112</v>
      </c>
      <c r="Q23" s="27">
        <v>20</v>
      </c>
      <c r="R23" s="28" t="s">
        <v>93</v>
      </c>
      <c r="S23" s="32" t="s">
        <v>68</v>
      </c>
      <c r="T23" s="34" t="s">
        <v>79</v>
      </c>
      <c r="U23" s="35"/>
    </row>
    <row r="24" spans="1:21" ht="22.5" customHeight="1">
      <c r="A24" s="5">
        <v>51</v>
      </c>
      <c r="B24" s="20" t="s">
        <v>38</v>
      </c>
      <c r="C24" s="20" t="s">
        <v>6</v>
      </c>
      <c r="D24" s="21" t="s">
        <v>86</v>
      </c>
      <c r="E24" s="22">
        <v>514</v>
      </c>
      <c r="F24" s="22">
        <v>177</v>
      </c>
      <c r="G24" s="23" t="s">
        <v>60</v>
      </c>
      <c r="H24" s="24" t="s">
        <v>76</v>
      </c>
      <c r="I24" s="25">
        <v>44</v>
      </c>
      <c r="J24" s="5" t="str">
        <f>VLOOKUP(I24,Table1[[#All],[IDKPI]:[Title]],11,FALSE)</f>
        <v>Tingkat pemenuhan tata kelola, manajemen risiko, dan kepatuhan internal (Penyelesaian Temuan Audit)</v>
      </c>
      <c r="K24" s="20" t="s">
        <v>84</v>
      </c>
      <c r="L24" s="20" t="s">
        <v>113</v>
      </c>
      <c r="M24" s="20" t="s">
        <v>46</v>
      </c>
      <c r="N24" s="26" t="s">
        <v>53</v>
      </c>
      <c r="O24" s="26" t="s">
        <v>67</v>
      </c>
      <c r="P24" s="20" t="s">
        <v>85</v>
      </c>
      <c r="Q24" s="27">
        <v>5</v>
      </c>
      <c r="R24" s="28" t="s">
        <v>99</v>
      </c>
      <c r="S24" s="32" t="s">
        <v>100</v>
      </c>
      <c r="T24" s="34" t="s">
        <v>78</v>
      </c>
      <c r="U24" s="35"/>
    </row>
    <row r="25" spans="1:21" ht="22.5" customHeight="1">
      <c r="A25" s="5">
        <v>52</v>
      </c>
      <c r="B25" s="20" t="s">
        <v>38</v>
      </c>
      <c r="C25" s="20" t="s">
        <v>6</v>
      </c>
      <c r="D25" s="21" t="s">
        <v>86</v>
      </c>
      <c r="E25" s="22">
        <v>514</v>
      </c>
      <c r="F25" s="22">
        <v>177</v>
      </c>
      <c r="G25" s="23" t="s">
        <v>60</v>
      </c>
      <c r="H25" s="24" t="s">
        <v>76</v>
      </c>
      <c r="I25" s="25">
        <v>45</v>
      </c>
      <c r="J25" s="5" t="str">
        <f>VLOOKUP(I25,Table1[[#All],[IDKPI]:[Title]],11,FALSE)</f>
        <v>Enhancement modul pms dan tms</v>
      </c>
      <c r="K25" s="25" t="s">
        <v>114</v>
      </c>
      <c r="L25" s="20" t="s">
        <v>115</v>
      </c>
      <c r="M25" s="20" t="s">
        <v>46</v>
      </c>
      <c r="N25" s="26" t="s">
        <v>42</v>
      </c>
      <c r="O25" s="26" t="s">
        <v>92</v>
      </c>
      <c r="P25" s="20" t="s">
        <v>116</v>
      </c>
      <c r="Q25" s="27">
        <v>20</v>
      </c>
      <c r="R25" s="28" t="s">
        <v>93</v>
      </c>
      <c r="S25" s="32" t="s">
        <v>68</v>
      </c>
      <c r="T25" s="34" t="s">
        <v>78</v>
      </c>
      <c r="U25" s="35"/>
    </row>
  </sheetData>
  <conditionalFormatting sqref="A2:F25 G12 H2:J25 L2:N25 A1:P1 Q1:T25 P12:P25 K13:K25 O14:O25 G18:G25">
    <cfRule type="colorScale" priority="3">
      <colorScale>
        <cfvo type="min"/>
        <cfvo type="max"/>
        <color rgb="FFFFFFFF"/>
        <color rgb="FF57BB8A"/>
      </colorScale>
    </cfRule>
  </conditionalFormatting>
  <conditionalFormatting sqref="U1">
    <cfRule type="colorScale" priority="1">
      <colorScale>
        <cfvo type="min"/>
        <cfvo type="max"/>
        <color rgb="FFFFFFFF"/>
        <color rgb="FF57BB8A"/>
      </colorScale>
    </cfRule>
  </conditionalFormatting>
  <dataValidations count="7">
    <dataValidation type="list" allowBlank="1" sqref="O2:O25" xr:uid="{00000000-0002-0000-0100-000000000000}">
      <formula1>"TRIWULANAN,TAHUNAN,SEMESTER,BULANAN"</formula1>
    </dataValidation>
    <dataValidation type="list" allowBlank="1" sqref="R2:R25" xr:uid="{00000000-0002-0000-0100-000001000000}">
      <formula1>"DIRECT,DUPLICATE,INDIRECT"</formula1>
    </dataValidation>
    <dataValidation type="list" allowBlank="1" showErrorMessage="1" sqref="H2:H25" xr:uid="{00000000-0002-0000-0100-000002000000}">
      <formula1>"IMPACT,OUTPUT,SUB_IMPACT,KAI"</formula1>
    </dataValidation>
    <dataValidation type="list" allowBlank="1" sqref="S2:S25" xr:uid="{00000000-0002-0000-0100-000003000000}">
      <formula1>"SPECIFIC,COMMON,SHARED"</formula1>
    </dataValidation>
    <dataValidation type="list" allowBlank="1" showErrorMessage="1" sqref="N2:N25" xr:uid="{00000000-0002-0000-0100-000004000000}">
      <formula1>"POSITIVE,NEGATIVE,NEUTRAL"</formula1>
    </dataValidation>
    <dataValidation type="list" allowBlank="1" showErrorMessage="1" sqref="T2:T25" xr:uid="{00000000-0002-0000-0100-000005000000}">
      <formula1>"Routine,Non Routine"</formula1>
    </dataValidation>
    <dataValidation type="list" allowBlank="1" showErrorMessage="1" sqref="G2:G25" xr:uid="{00000000-0002-0000-0100-000006000000}">
      <formula1>"Financial,Customer,Internal Business Process,Learning &amp; Growth"</formula1>
    </dataValidation>
  </dataValidations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2.625" defaultRowHeight="15" customHeight="1"/>
  <cols>
    <col min="1" max="1" width="46.75" customWidth="1"/>
    <col min="2" max="26" width="8.625" customWidth="1"/>
  </cols>
  <sheetData>
    <row r="1" spans="1:2" ht="14.25" customHeight="1"/>
    <row r="2" spans="1:2" ht="14.25" customHeight="1"/>
    <row r="3" spans="1:2" ht="14.25" customHeight="1"/>
    <row r="4" spans="1:2" ht="14.25" customHeight="1"/>
    <row r="5" spans="1:2" ht="14.25" customHeight="1">
      <c r="A5" s="30" t="s">
        <v>135</v>
      </c>
      <c r="B5" s="31" t="s">
        <v>1</v>
      </c>
    </row>
    <row r="6" spans="1:2" ht="14.25" customHeight="1">
      <c r="A6" s="30" t="s">
        <v>137</v>
      </c>
      <c r="B6" s="31" t="s">
        <v>2</v>
      </c>
    </row>
    <row r="7" spans="1:2" ht="14.25" customHeight="1">
      <c r="A7" s="30" t="s">
        <v>130</v>
      </c>
      <c r="B7" s="31" t="s">
        <v>7</v>
      </c>
    </row>
    <row r="8" spans="1:2" ht="14.25" customHeight="1">
      <c r="A8" s="30" t="s">
        <v>138</v>
      </c>
      <c r="B8" s="31" t="s">
        <v>3</v>
      </c>
    </row>
    <row r="9" spans="1:2" ht="14.25" customHeight="1">
      <c r="A9" s="30" t="s">
        <v>127</v>
      </c>
      <c r="B9" s="31" t="s">
        <v>3</v>
      </c>
    </row>
    <row r="10" spans="1:2" ht="14.25" customHeight="1">
      <c r="A10" s="30" t="s">
        <v>121</v>
      </c>
      <c r="B10" s="31" t="s">
        <v>6</v>
      </c>
    </row>
    <row r="11" spans="1:2" ht="14.25" customHeight="1">
      <c r="A11" s="30" t="s">
        <v>132</v>
      </c>
      <c r="B11" s="31" t="s">
        <v>2</v>
      </c>
    </row>
    <row r="12" spans="1:2" ht="14.25" customHeight="1">
      <c r="A12" s="30" t="s">
        <v>129</v>
      </c>
      <c r="B12" s="31" t="s">
        <v>5</v>
      </c>
    </row>
    <row r="13" spans="1:2" ht="14.25" customHeight="1">
      <c r="A13" s="30" t="s">
        <v>128</v>
      </c>
      <c r="B13" s="31" t="s">
        <v>5</v>
      </c>
    </row>
    <row r="14" spans="1:2" ht="14.25" customHeight="1">
      <c r="A14" s="30" t="s">
        <v>126</v>
      </c>
      <c r="B14" s="31" t="s">
        <v>3</v>
      </c>
    </row>
    <row r="15" spans="1:2" ht="14.25" customHeight="1">
      <c r="A15" s="30" t="s">
        <v>118</v>
      </c>
      <c r="B15" s="31" t="s">
        <v>8</v>
      </c>
    </row>
    <row r="16" spans="1:2" ht="14.25" customHeight="1">
      <c r="A16" s="30" t="s">
        <v>125</v>
      </c>
      <c r="B16" s="31" t="s">
        <v>4</v>
      </c>
    </row>
    <row r="17" spans="1:2" ht="14.25" customHeight="1">
      <c r="A17" s="30" t="s">
        <v>124</v>
      </c>
      <c r="B17" s="31" t="s">
        <v>4</v>
      </c>
    </row>
    <row r="18" spans="1:2" ht="14.25" customHeight="1">
      <c r="A18" s="30" t="s">
        <v>131</v>
      </c>
      <c r="B18" s="31" t="s">
        <v>2</v>
      </c>
    </row>
    <row r="19" spans="1:2" ht="14.25" customHeight="1">
      <c r="A19" s="30" t="s">
        <v>122</v>
      </c>
      <c r="B19" s="31" t="s">
        <v>6</v>
      </c>
    </row>
    <row r="20" spans="1:2" ht="14.25" customHeight="1">
      <c r="A20" s="30" t="s">
        <v>139</v>
      </c>
      <c r="B20" s="31" t="s">
        <v>1</v>
      </c>
    </row>
    <row r="21" spans="1:2" ht="14.25" customHeight="1">
      <c r="A21" s="30" t="s">
        <v>38</v>
      </c>
      <c r="B21" s="31" t="s">
        <v>6</v>
      </c>
    </row>
    <row r="22" spans="1:2" ht="14.25" customHeight="1">
      <c r="A22" s="30" t="s">
        <v>140</v>
      </c>
      <c r="B22" s="31" t="s">
        <v>5</v>
      </c>
    </row>
    <row r="23" spans="1:2" ht="14.25" customHeight="1">
      <c r="A23" s="30" t="s">
        <v>141</v>
      </c>
      <c r="B23" s="31" t="s">
        <v>7</v>
      </c>
    </row>
    <row r="24" spans="1:2" ht="14.25" customHeight="1">
      <c r="A24" s="30" t="s">
        <v>123</v>
      </c>
      <c r="B24" s="31" t="s">
        <v>7</v>
      </c>
    </row>
    <row r="25" spans="1:2" ht="14.25" customHeight="1">
      <c r="A25" s="30" t="s">
        <v>133</v>
      </c>
      <c r="B25" s="31" t="s">
        <v>1</v>
      </c>
    </row>
    <row r="26" spans="1:2" ht="14.25" customHeight="1">
      <c r="A26" s="30" t="s">
        <v>119</v>
      </c>
      <c r="B26" s="31" t="s">
        <v>8</v>
      </c>
    </row>
    <row r="27" spans="1:2" ht="14.25" customHeight="1">
      <c r="A27" s="30" t="s">
        <v>117</v>
      </c>
      <c r="B27" s="31" t="s">
        <v>8</v>
      </c>
    </row>
    <row r="28" spans="1:2" ht="14.25" customHeight="1">
      <c r="A28" s="30" t="s">
        <v>134</v>
      </c>
      <c r="B28" s="31" t="s">
        <v>5</v>
      </c>
    </row>
    <row r="29" spans="1:2" ht="14.25" customHeight="1">
      <c r="A29" s="30" t="s">
        <v>120</v>
      </c>
      <c r="B29" s="31" t="s">
        <v>6</v>
      </c>
    </row>
    <row r="30" spans="1:2" ht="14.25" customHeight="1">
      <c r="A30" s="30" t="s">
        <v>136</v>
      </c>
      <c r="B30" s="31" t="s">
        <v>4</v>
      </c>
    </row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Salsabila Raihana Radian</dc:creator>
  <cp:lastModifiedBy>digit praktika</cp:lastModifiedBy>
  <dcterms:created xsi:type="dcterms:W3CDTF">2026-02-02T01:32:22Z</dcterms:created>
  <dcterms:modified xsi:type="dcterms:W3CDTF">2026-03-15T09:42:38Z</dcterms:modified>
</cp:coreProperties>
</file>